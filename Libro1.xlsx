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9a6d5bbf552738/Desktop/"/>
    </mc:Choice>
  </mc:AlternateContent>
  <xr:revisionPtr revIDLastSave="2" documentId="13_ncr:1_{BAB9E5F1-0174-4CDC-90E2-52A3A27EE1E1}" xr6:coauthVersionLast="47" xr6:coauthVersionMax="47" xr10:uidLastSave="{DE3DA9A6-DDFB-4217-B5C8-6AB60D716785}"/>
  <bookViews>
    <workbookView xWindow="-108" yWindow="-108" windowWidth="30936" windowHeight="16776" activeTab="4" xr2:uid="{47E08674-634E-4382-862F-12F3F7A39C91}"/>
  </bookViews>
  <sheets>
    <sheet name="Hoja1" sheetId="1" r:id="rId1"/>
    <sheet name="febrero" sheetId="2" r:id="rId2"/>
    <sheet name="abril" sheetId="3" r:id="rId3"/>
    <sheet name="mayo" sheetId="4" r:id="rId4"/>
    <sheet name="agost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6" i="5" l="1"/>
  <c r="B26" i="5"/>
  <c r="E26" i="5" s="1"/>
  <c r="D7" i="5"/>
  <c r="A5" i="5"/>
  <c r="B14" i="5" s="1"/>
  <c r="B16" i="5" s="1"/>
  <c r="D17" i="4"/>
  <c r="D16" i="4"/>
  <c r="D15" i="4"/>
  <c r="D14" i="4"/>
  <c r="D13" i="4"/>
  <c r="D12" i="4"/>
  <c r="C26" i="4"/>
  <c r="B25" i="4"/>
  <c r="B17" i="4"/>
  <c r="B15" i="4"/>
  <c r="B14" i="4"/>
  <c r="B13" i="4"/>
  <c r="G27" i="3"/>
  <c r="K29" i="3"/>
  <c r="A40" i="3"/>
  <c r="C40" i="3" s="1"/>
  <c r="H19" i="3"/>
  <c r="G19" i="3"/>
  <c r="B24" i="2"/>
  <c r="F38" i="3"/>
  <c r="B2" i="3"/>
  <c r="B6" i="3" s="1"/>
  <c r="C8" i="3" s="1"/>
  <c r="E9" i="3"/>
  <c r="B21" i="2"/>
  <c r="I21" i="2"/>
  <c r="D9" i="2"/>
  <c r="A9" i="2"/>
  <c r="A28" i="3"/>
  <c r="A19" i="3"/>
  <c r="B19" i="2"/>
  <c r="B9" i="2"/>
  <c r="C9" i="2"/>
  <c r="B23" i="1"/>
  <c r="A19" i="1"/>
  <c r="H24" i="1"/>
  <c r="H26" i="1"/>
  <c r="L11" i="1"/>
  <c r="G17" i="1"/>
  <c r="H25" i="1"/>
  <c r="E17" i="1"/>
  <c r="G10" i="1"/>
  <c r="L18" i="1"/>
  <c r="A28" i="1"/>
  <c r="E11" i="1"/>
  <c r="I11" i="1" s="1"/>
  <c r="XFD26" i="5" l="1"/>
  <c r="G23" i="3"/>
  <c r="G32" i="3" s="1"/>
  <c r="J26" i="1"/>
  <c r="C22" i="1"/>
  <c r="C27" i="1" s="1"/>
  <c r="J28" i="1" s="1"/>
  <c r="G13" i="1"/>
</calcChain>
</file>

<file path=xl/sharedStrings.xml><?xml version="1.0" encoding="utf-8"?>
<sst xmlns="http://schemas.openxmlformats.org/spreadsheetml/2006/main" count="67" uniqueCount="54">
  <si>
    <t>Entró</t>
  </si>
  <si>
    <t>Salió</t>
  </si>
  <si>
    <t>Gabriel DICIEMBRE</t>
  </si>
  <si>
    <t>Gabriel ENERO</t>
  </si>
  <si>
    <t xml:space="preserve"> </t>
  </si>
  <si>
    <t>11 de dicie</t>
  </si>
  <si>
    <t>Mamá DICIEMBRE</t>
  </si>
  <si>
    <t>MamáENERO</t>
  </si>
  <si>
    <t>VIDRIO 06/01</t>
  </si>
  <si>
    <t>mamam diciem</t>
  </si>
  <si>
    <t>mama enero</t>
  </si>
  <si>
    <t>YAPE</t>
  </si>
  <si>
    <t xml:space="preserve">credito yape </t>
  </si>
  <si>
    <t>Gabriel</t>
  </si>
  <si>
    <t>Mamá</t>
  </si>
  <si>
    <t>Coco</t>
  </si>
  <si>
    <t>asu</t>
  </si>
  <si>
    <t>moni</t>
  </si>
  <si>
    <t>Rodrigo</t>
  </si>
  <si>
    <t>TOTAL</t>
  </si>
  <si>
    <t>Desgravamen</t>
  </si>
  <si>
    <t>UTP</t>
  </si>
  <si>
    <t>Deuda Total Tarjeta</t>
  </si>
  <si>
    <t>salio</t>
  </si>
  <si>
    <t>entró</t>
  </si>
  <si>
    <t>Te debo</t>
  </si>
  <si>
    <t>papayo</t>
  </si>
  <si>
    <t>tanque</t>
  </si>
  <si>
    <t>bambino</t>
  </si>
  <si>
    <t>CONCLUSIÓN</t>
  </si>
  <si>
    <t>PAPAYO DEBE A COCO</t>
  </si>
  <si>
    <t>LA DEUDA DE PAPAYO A GABRIEL ES PARA COCO</t>
  </si>
  <si>
    <t>CERRADO EL TEMA DE MAMÁ TANQUE</t>
  </si>
  <si>
    <t>GABRIEL SALDA A RODRIGO 200 DE COCO</t>
  </si>
  <si>
    <t>pastilla</t>
  </si>
  <si>
    <t>utp</t>
  </si>
  <si>
    <t>entel</t>
  </si>
  <si>
    <t>motorola</t>
  </si>
  <si>
    <t>case</t>
  </si>
  <si>
    <t>cajita</t>
  </si>
  <si>
    <t>monitor</t>
  </si>
  <si>
    <t>rodrigo</t>
  </si>
  <si>
    <t>Seguro</t>
  </si>
  <si>
    <t>mamá me dará</t>
  </si>
  <si>
    <t>.. Es mío</t>
  </si>
  <si>
    <t>zapatillas Coco</t>
  </si>
  <si>
    <t>mifarma</t>
  </si>
  <si>
    <t>zapatillas Gabriel</t>
  </si>
  <si>
    <t>laptop</t>
  </si>
  <si>
    <t>barra led</t>
  </si>
  <si>
    <t>celular</t>
  </si>
  <si>
    <t>impresora</t>
  </si>
  <si>
    <t>total</t>
  </si>
  <si>
    <t>degravamen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</si>
</sst>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16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541020</xdr:colOff>
      <xdr:row>25</xdr:row>
      <xdr:rowOff>121920</xdr:rowOff>
    </xdr:from>
    <xdr:to>
      <xdr:col>24</xdr:col>
      <xdr:colOff>762000</xdr:colOff>
      <xdr:row>43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5B2E28-EBF7-B36C-DB2A-B880CA68B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05660" y="4145280"/>
          <a:ext cx="4975860" cy="3299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5338B-5ADA-400E-AFB7-F5CE01415B55}">
  <dimension ref="A1:L40"/>
  <sheetViews>
    <sheetView zoomScale="130" zoomScaleNormal="130" workbookViewId="0">
      <selection activeCell="A28" sqref="A28"/>
    </sheetView>
  </sheetViews>
  <sheetFormatPr baseColWidth="10" defaultRowHeight="14.4" x14ac:dyDescent="0.3"/>
  <cols>
    <col min="5" max="5" width="16.88671875" customWidth="1"/>
  </cols>
  <sheetData>
    <row r="1" spans="1:12" x14ac:dyDescent="0.3">
      <c r="E1" t="s">
        <v>5</v>
      </c>
    </row>
    <row r="2" spans="1:12" x14ac:dyDescent="0.3">
      <c r="A2" s="8" t="s">
        <v>11</v>
      </c>
      <c r="B2" s="8"/>
    </row>
    <row r="3" spans="1:12" x14ac:dyDescent="0.3">
      <c r="A3" t="s">
        <v>0</v>
      </c>
      <c r="B3" t="s">
        <v>1</v>
      </c>
      <c r="E3" t="s">
        <v>2</v>
      </c>
      <c r="G3" t="s">
        <v>3</v>
      </c>
    </row>
    <row r="4" spans="1:12" x14ac:dyDescent="0.3">
      <c r="A4">
        <v>70</v>
      </c>
      <c r="B4">
        <v>500</v>
      </c>
      <c r="E4">
        <v>25.99</v>
      </c>
      <c r="G4">
        <v>37</v>
      </c>
    </row>
    <row r="5" spans="1:12" x14ac:dyDescent="0.3">
      <c r="A5">
        <v>20</v>
      </c>
      <c r="B5">
        <v>100</v>
      </c>
      <c r="G5">
        <v>36.409999999999997</v>
      </c>
    </row>
    <row r="6" spans="1:12" x14ac:dyDescent="0.3">
      <c r="B6">
        <v>100</v>
      </c>
      <c r="E6">
        <v>37</v>
      </c>
      <c r="G6">
        <v>61.42</v>
      </c>
      <c r="L6">
        <v>33.799999999999997</v>
      </c>
    </row>
    <row r="7" spans="1:12" x14ac:dyDescent="0.3">
      <c r="A7">
        <v>50</v>
      </c>
      <c r="B7">
        <v>30</v>
      </c>
      <c r="E7">
        <v>36.409999999999997</v>
      </c>
      <c r="G7">
        <v>16.170000000000002</v>
      </c>
      <c r="L7">
        <v>9.5</v>
      </c>
    </row>
    <row r="8" spans="1:12" x14ac:dyDescent="0.3">
      <c r="A8">
        <v>100</v>
      </c>
      <c r="B8">
        <v>15</v>
      </c>
      <c r="E8">
        <v>61.42</v>
      </c>
      <c r="G8">
        <v>113.17</v>
      </c>
      <c r="L8">
        <v>27.6</v>
      </c>
    </row>
    <row r="9" spans="1:12" x14ac:dyDescent="0.3">
      <c r="A9">
        <v>100</v>
      </c>
      <c r="B9">
        <v>15</v>
      </c>
      <c r="E9">
        <v>16.170000000000002</v>
      </c>
      <c r="G9">
        <v>20</v>
      </c>
      <c r="L9">
        <v>54.7</v>
      </c>
    </row>
    <row r="10" spans="1:12" x14ac:dyDescent="0.3">
      <c r="A10">
        <v>94.42</v>
      </c>
      <c r="B10">
        <v>120</v>
      </c>
      <c r="E10">
        <v>113.17</v>
      </c>
      <c r="G10" s="1">
        <f>+SUM(G4:G9)</f>
        <v>284.17</v>
      </c>
      <c r="L10">
        <v>48.3</v>
      </c>
    </row>
    <row r="11" spans="1:12" x14ac:dyDescent="0.3">
      <c r="A11">
        <v>33</v>
      </c>
      <c r="B11">
        <v>25</v>
      </c>
      <c r="E11" s="1">
        <f>+SUM(E4:E10)</f>
        <v>290.16000000000003</v>
      </c>
      <c r="I11" s="1">
        <f>+E11+G10</f>
        <v>574.33000000000004</v>
      </c>
      <c r="K11" s="3">
        <v>46374</v>
      </c>
      <c r="L11">
        <f>SUM(L6:L10)</f>
        <v>173.9</v>
      </c>
    </row>
    <row r="13" spans="1:12" x14ac:dyDescent="0.3">
      <c r="B13">
        <v>50</v>
      </c>
      <c r="G13" s="1">
        <f>+E11+G10</f>
        <v>574.33000000000004</v>
      </c>
      <c r="L13">
        <v>9.5</v>
      </c>
    </row>
    <row r="14" spans="1:12" x14ac:dyDescent="0.3">
      <c r="B14">
        <v>80</v>
      </c>
      <c r="E14" t="s">
        <v>6</v>
      </c>
      <c r="G14" t="s">
        <v>7</v>
      </c>
      <c r="L14">
        <v>31.1</v>
      </c>
    </row>
    <row r="15" spans="1:12" x14ac:dyDescent="0.3">
      <c r="A15" s="1"/>
      <c r="B15">
        <v>15</v>
      </c>
      <c r="E15">
        <v>39.9</v>
      </c>
      <c r="G15">
        <v>211.5</v>
      </c>
      <c r="L15">
        <v>17.600000000000001</v>
      </c>
    </row>
    <row r="16" spans="1:12" x14ac:dyDescent="0.3">
      <c r="B16">
        <v>50</v>
      </c>
      <c r="E16">
        <v>211.5</v>
      </c>
      <c r="F16" s="2" t="s">
        <v>8</v>
      </c>
      <c r="G16" s="2">
        <v>39.9</v>
      </c>
      <c r="L16">
        <v>57</v>
      </c>
    </row>
    <row r="17" spans="1:12" x14ac:dyDescent="0.3">
      <c r="B17">
        <v>5</v>
      </c>
      <c r="E17" s="1">
        <f>+SUM(E15:E16)</f>
        <v>251.4</v>
      </c>
      <c r="G17" s="1">
        <f>SUM(G15:G16)</f>
        <v>251.4</v>
      </c>
      <c r="L17">
        <v>41.8</v>
      </c>
    </row>
    <row r="18" spans="1:12" x14ac:dyDescent="0.3">
      <c r="B18">
        <v>100</v>
      </c>
      <c r="K18" s="3">
        <v>46041</v>
      </c>
      <c r="L18">
        <f>SUM(L13:L17)</f>
        <v>157</v>
      </c>
    </row>
    <row r="19" spans="1:12" x14ac:dyDescent="0.3">
      <c r="A19">
        <f>+SUM(A4:A18)</f>
        <v>467.42</v>
      </c>
      <c r="B19">
        <v>15</v>
      </c>
    </row>
    <row r="20" spans="1:12" x14ac:dyDescent="0.3">
      <c r="B20">
        <v>19</v>
      </c>
    </row>
    <row r="22" spans="1:12" x14ac:dyDescent="0.3">
      <c r="C22">
        <f>+B23-A19</f>
        <v>771.57999999999993</v>
      </c>
    </row>
    <row r="23" spans="1:12" x14ac:dyDescent="0.3">
      <c r="B23">
        <f>+SUM(B4:B22)</f>
        <v>1239</v>
      </c>
    </row>
    <row r="24" spans="1:12" x14ac:dyDescent="0.3">
      <c r="B24" t="s">
        <v>4</v>
      </c>
      <c r="F24" t="s">
        <v>9</v>
      </c>
      <c r="H24">
        <f>+E17+L11</f>
        <v>425.3</v>
      </c>
    </row>
    <row r="25" spans="1:12" x14ac:dyDescent="0.3">
      <c r="A25" s="1">
        <v>1900</v>
      </c>
      <c r="F25" t="s">
        <v>10</v>
      </c>
      <c r="H25">
        <f>+G15+G16+L18</f>
        <v>408.4</v>
      </c>
    </row>
    <row r="26" spans="1:12" x14ac:dyDescent="0.3">
      <c r="A26">
        <v>400</v>
      </c>
      <c r="H26" s="1">
        <f>SUM(H24:H25)</f>
        <v>833.7</v>
      </c>
      <c r="J26">
        <f>+H26+I11</f>
        <v>1408.0300000000002</v>
      </c>
    </row>
    <row r="27" spans="1:12" x14ac:dyDescent="0.3">
      <c r="A27">
        <v>350</v>
      </c>
      <c r="C27">
        <f>+C22+A28</f>
        <v>1921.58</v>
      </c>
    </row>
    <row r="28" spans="1:12" x14ac:dyDescent="0.3">
      <c r="A28" s="1">
        <f>+A25-A26-A27</f>
        <v>1150</v>
      </c>
      <c r="J28" s="1">
        <f>+C27-J26</f>
        <v>513.54999999999973</v>
      </c>
    </row>
    <row r="32" spans="1:12" x14ac:dyDescent="0.3">
      <c r="G32" s="1"/>
    </row>
    <row r="40" spans="2:3" x14ac:dyDescent="0.3">
      <c r="B40" t="s">
        <v>12</v>
      </c>
      <c r="C40">
        <v>667.98</v>
      </c>
    </row>
  </sheetData>
  <mergeCells count="1">
    <mergeCell ref="A2:B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A5E16-4C58-4ED9-A5FE-AAAC509211DE}">
  <dimension ref="A1:I28"/>
  <sheetViews>
    <sheetView workbookViewId="0">
      <selection activeCell="D4" sqref="D4"/>
    </sheetView>
  </sheetViews>
  <sheetFormatPr baseColWidth="10" defaultRowHeight="14.4" x14ac:dyDescent="0.3"/>
  <cols>
    <col min="1" max="2" width="24.33203125" customWidth="1"/>
    <col min="3" max="3" width="17.109375" customWidth="1"/>
    <col min="4" max="4" width="16.6640625" customWidth="1"/>
  </cols>
  <sheetData>
    <row r="1" spans="1:4" ht="21" x14ac:dyDescent="0.4">
      <c r="A1" s="4" t="s">
        <v>13</v>
      </c>
      <c r="B1" s="4" t="s">
        <v>14</v>
      </c>
      <c r="D1" s="4" t="s">
        <v>15</v>
      </c>
    </row>
    <row r="2" spans="1:4" x14ac:dyDescent="0.3">
      <c r="A2">
        <v>8.4499999999999993</v>
      </c>
      <c r="B2">
        <v>211.5</v>
      </c>
      <c r="C2" t="s">
        <v>16</v>
      </c>
      <c r="D2">
        <v>125</v>
      </c>
    </row>
    <row r="3" spans="1:4" x14ac:dyDescent="0.3">
      <c r="A3">
        <v>37</v>
      </c>
      <c r="B3">
        <v>39.9</v>
      </c>
      <c r="C3" t="s">
        <v>17</v>
      </c>
      <c r="D3">
        <v>113.17</v>
      </c>
    </row>
    <row r="4" spans="1:4" x14ac:dyDescent="0.3">
      <c r="A4">
        <v>36.409999999999997</v>
      </c>
    </row>
    <row r="5" spans="1:4" x14ac:dyDescent="0.3">
      <c r="A5">
        <v>61.42</v>
      </c>
    </row>
    <row r="6" spans="1:4" x14ac:dyDescent="0.3">
      <c r="A6">
        <v>16.170000000000002</v>
      </c>
    </row>
    <row r="7" spans="1:4" x14ac:dyDescent="0.3">
      <c r="A7">
        <v>13.58</v>
      </c>
    </row>
    <row r="9" spans="1:4" x14ac:dyDescent="0.3">
      <c r="A9" s="1">
        <f>SUM(A2:A8)</f>
        <v>173.03</v>
      </c>
      <c r="B9" s="1">
        <f t="shared" ref="B9:C9" si="0">SUM(B2:B8)</f>
        <v>251.4</v>
      </c>
      <c r="C9" s="1">
        <f t="shared" si="0"/>
        <v>0</v>
      </c>
      <c r="D9" s="1">
        <f>SUM(D2:D8)</f>
        <v>238.17000000000002</v>
      </c>
    </row>
    <row r="16" spans="1:4" x14ac:dyDescent="0.3">
      <c r="B16">
        <v>980</v>
      </c>
    </row>
    <row r="19" spans="2:9" x14ac:dyDescent="0.3">
      <c r="B19">
        <f>+A9+B9</f>
        <v>424.43</v>
      </c>
    </row>
    <row r="21" spans="2:9" ht="21" x14ac:dyDescent="0.4">
      <c r="B21" s="4">
        <f>+B16-B19</f>
        <v>555.56999999999994</v>
      </c>
      <c r="G21">
        <v>865.4</v>
      </c>
      <c r="I21" s="4">
        <f>+G21+B19+D9</f>
        <v>1528</v>
      </c>
    </row>
    <row r="22" spans="2:9" ht="21" x14ac:dyDescent="0.4">
      <c r="B22" s="4">
        <v>275</v>
      </c>
    </row>
    <row r="23" spans="2:9" ht="21" x14ac:dyDescent="0.4">
      <c r="B23" s="4">
        <v>400</v>
      </c>
    </row>
    <row r="24" spans="2:9" x14ac:dyDescent="0.3">
      <c r="B24" s="5">
        <f>SUM(B21:B23)</f>
        <v>1230.57</v>
      </c>
    </row>
    <row r="28" spans="2:9" x14ac:dyDescent="0.3">
      <c r="C28">
        <v>1300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84EE-B829-4B45-BC49-3FFBF8413EFC}">
  <dimension ref="A1:S52"/>
  <sheetViews>
    <sheetView topLeftCell="A13" workbookViewId="0">
      <selection activeCell="D52" sqref="D52"/>
    </sheetView>
  </sheetViews>
  <sheetFormatPr baseColWidth="10" defaultRowHeight="14.4" x14ac:dyDescent="0.3"/>
  <cols>
    <col min="1" max="1" width="13" customWidth="1"/>
    <col min="3" max="3" width="16.5546875" customWidth="1"/>
  </cols>
  <sheetData>
    <row r="1" spans="1:9" x14ac:dyDescent="0.3">
      <c r="A1" t="s">
        <v>18</v>
      </c>
      <c r="B1">
        <v>800</v>
      </c>
    </row>
    <row r="2" spans="1:9" x14ac:dyDescent="0.3">
      <c r="A2" t="s">
        <v>13</v>
      </c>
      <c r="B2">
        <f>+A19</f>
        <v>471.69</v>
      </c>
      <c r="G2" s="9" t="s">
        <v>11</v>
      </c>
      <c r="H2" s="9"/>
      <c r="I2" s="9"/>
    </row>
    <row r="3" spans="1:9" x14ac:dyDescent="0.3">
      <c r="A3" t="s">
        <v>15</v>
      </c>
      <c r="B3">
        <v>113.17</v>
      </c>
      <c r="G3" t="s">
        <v>23</v>
      </c>
      <c r="H3" t="s">
        <v>24</v>
      </c>
    </row>
    <row r="4" spans="1:9" x14ac:dyDescent="0.3">
      <c r="A4" t="s">
        <v>14</v>
      </c>
      <c r="B4">
        <v>30.4</v>
      </c>
      <c r="G4" s="2">
        <v>50</v>
      </c>
      <c r="H4">
        <v>10</v>
      </c>
    </row>
    <row r="5" spans="1:9" x14ac:dyDescent="0.3">
      <c r="A5" t="s">
        <v>20</v>
      </c>
      <c r="B5">
        <v>10.74</v>
      </c>
      <c r="G5">
        <v>4</v>
      </c>
      <c r="H5">
        <v>10</v>
      </c>
    </row>
    <row r="6" spans="1:9" x14ac:dyDescent="0.3">
      <c r="A6" s="1" t="s">
        <v>19</v>
      </c>
      <c r="B6" s="1">
        <f>SUM(B1:B5)</f>
        <v>1426.0000000000002</v>
      </c>
      <c r="G6">
        <v>4</v>
      </c>
      <c r="H6">
        <v>100</v>
      </c>
    </row>
    <row r="7" spans="1:9" x14ac:dyDescent="0.3">
      <c r="E7">
        <v>110</v>
      </c>
      <c r="G7">
        <v>30</v>
      </c>
      <c r="H7">
        <v>310</v>
      </c>
    </row>
    <row r="8" spans="1:9" x14ac:dyDescent="0.3">
      <c r="C8">
        <f>+B6-B3</f>
        <v>1312.8300000000002</v>
      </c>
      <c r="E8">
        <v>312</v>
      </c>
      <c r="G8">
        <v>50</v>
      </c>
      <c r="H8">
        <v>70</v>
      </c>
    </row>
    <row r="9" spans="1:9" x14ac:dyDescent="0.3">
      <c r="E9">
        <f>SUM(E7:E8)</f>
        <v>422</v>
      </c>
      <c r="G9">
        <v>100</v>
      </c>
      <c r="H9">
        <v>5</v>
      </c>
    </row>
    <row r="10" spans="1:9" x14ac:dyDescent="0.3">
      <c r="C10" s="1">
        <v>312.82</v>
      </c>
      <c r="G10">
        <v>2</v>
      </c>
    </row>
    <row r="11" spans="1:9" x14ac:dyDescent="0.3">
      <c r="A11" t="s">
        <v>13</v>
      </c>
      <c r="G11">
        <v>5</v>
      </c>
    </row>
    <row r="12" spans="1:9" x14ac:dyDescent="0.3">
      <c r="A12">
        <v>281.02</v>
      </c>
      <c r="G12">
        <v>40</v>
      </c>
    </row>
    <row r="13" spans="1:9" x14ac:dyDescent="0.3">
      <c r="A13">
        <v>37</v>
      </c>
      <c r="G13">
        <v>19</v>
      </c>
    </row>
    <row r="14" spans="1:9" x14ac:dyDescent="0.3">
      <c r="A14">
        <v>36.409999999999997</v>
      </c>
      <c r="G14">
        <v>1.8</v>
      </c>
    </row>
    <row r="15" spans="1:9" x14ac:dyDescent="0.3">
      <c r="A15">
        <v>61.42</v>
      </c>
      <c r="G15">
        <v>6</v>
      </c>
    </row>
    <row r="16" spans="1:9" x14ac:dyDescent="0.3">
      <c r="A16">
        <v>16.170000000000002</v>
      </c>
      <c r="G16" s="1">
        <v>10</v>
      </c>
    </row>
    <row r="17" spans="1:11" x14ac:dyDescent="0.3">
      <c r="A17">
        <v>39.67</v>
      </c>
    </row>
    <row r="19" spans="1:11" x14ac:dyDescent="0.3">
      <c r="A19" s="1">
        <f>SUM(A12:A18)</f>
        <v>471.69</v>
      </c>
      <c r="G19">
        <f>SUM(G4:G18)</f>
        <v>321.8</v>
      </c>
      <c r="H19">
        <f>SUM(H4:H18)</f>
        <v>505</v>
      </c>
    </row>
    <row r="23" spans="1:11" x14ac:dyDescent="0.3">
      <c r="F23" t="s">
        <v>25</v>
      </c>
      <c r="G23" s="1">
        <f>+H19-G19</f>
        <v>183.2</v>
      </c>
    </row>
    <row r="24" spans="1:11" x14ac:dyDescent="0.3">
      <c r="A24" t="s">
        <v>21</v>
      </c>
    </row>
    <row r="25" spans="1:11" x14ac:dyDescent="0.3">
      <c r="A25">
        <v>1443.52</v>
      </c>
    </row>
    <row r="26" spans="1:11" x14ac:dyDescent="0.3">
      <c r="A26">
        <v>478.05</v>
      </c>
    </row>
    <row r="27" spans="1:11" ht="23.4" x14ac:dyDescent="0.45">
      <c r="A27">
        <v>791.55</v>
      </c>
      <c r="G27" s="6">
        <f>+G23+C10+C40</f>
        <v>746.02</v>
      </c>
      <c r="K27">
        <v>1134.6199999999999</v>
      </c>
    </row>
    <row r="28" spans="1:11" x14ac:dyDescent="0.3">
      <c r="A28" s="1">
        <f>SUM(A25:A27)</f>
        <v>2713.12</v>
      </c>
      <c r="F28" t="s">
        <v>26</v>
      </c>
      <c r="G28">
        <v>-200</v>
      </c>
      <c r="K28">
        <v>700</v>
      </c>
    </row>
    <row r="29" spans="1:11" x14ac:dyDescent="0.3">
      <c r="F29" t="s">
        <v>27</v>
      </c>
      <c r="G29">
        <v>-400</v>
      </c>
      <c r="K29">
        <f>+K27-K28</f>
        <v>434.61999999999989</v>
      </c>
    </row>
    <row r="30" spans="1:11" x14ac:dyDescent="0.3">
      <c r="F30" t="s">
        <v>28</v>
      </c>
      <c r="G30">
        <v>-300</v>
      </c>
    </row>
    <row r="32" spans="1:11" x14ac:dyDescent="0.3">
      <c r="G32">
        <f>SUM(G27:G31)</f>
        <v>-153.98000000000002</v>
      </c>
    </row>
    <row r="35" spans="1:19" x14ac:dyDescent="0.3">
      <c r="A35" t="s">
        <v>22</v>
      </c>
      <c r="C35" s="1">
        <v>1426</v>
      </c>
    </row>
    <row r="36" spans="1:19" x14ac:dyDescent="0.3">
      <c r="F36">
        <v>1500</v>
      </c>
    </row>
    <row r="37" spans="1:19" x14ac:dyDescent="0.3">
      <c r="F37">
        <v>700</v>
      </c>
    </row>
    <row r="38" spans="1:19" x14ac:dyDescent="0.3">
      <c r="A38">
        <v>1350</v>
      </c>
      <c r="F38">
        <f>SUM(F36:F37)</f>
        <v>2200</v>
      </c>
    </row>
    <row r="39" spans="1:19" x14ac:dyDescent="0.3">
      <c r="A39">
        <v>600</v>
      </c>
    </row>
    <row r="40" spans="1:19" x14ac:dyDescent="0.3">
      <c r="A40">
        <f>SUM(A38:A39)</f>
        <v>1950</v>
      </c>
      <c r="B40">
        <v>2200</v>
      </c>
      <c r="C40">
        <f>+B40-A40</f>
        <v>250</v>
      </c>
    </row>
    <row r="42" spans="1:19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19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5" spans="1:19" x14ac:dyDescent="0.3">
      <c r="A45" t="s">
        <v>29</v>
      </c>
    </row>
    <row r="47" spans="1:19" x14ac:dyDescent="0.3">
      <c r="A47" t="s">
        <v>30</v>
      </c>
      <c r="D47">
        <v>150</v>
      </c>
    </row>
    <row r="48" spans="1:19" x14ac:dyDescent="0.3">
      <c r="A48" t="s">
        <v>31</v>
      </c>
      <c r="D48">
        <v>200</v>
      </c>
    </row>
    <row r="50" spans="1:1" x14ac:dyDescent="0.3">
      <c r="A50" s="1" t="s">
        <v>32</v>
      </c>
    </row>
    <row r="52" spans="1:1" x14ac:dyDescent="0.3">
      <c r="A52" s="1" t="s">
        <v>33</v>
      </c>
    </row>
  </sheetData>
  <mergeCells count="1">
    <mergeCell ref="G2:I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B7D62-7FDA-4864-B91D-D77B980D138F}">
  <dimension ref="A1:E26"/>
  <sheetViews>
    <sheetView workbookViewId="0">
      <selection activeCell="D17" sqref="D17"/>
    </sheetView>
  </sheetViews>
  <sheetFormatPr baseColWidth="10" defaultRowHeight="14.4" x14ac:dyDescent="0.3"/>
  <cols>
    <col min="1" max="1" width="15.21875" customWidth="1"/>
  </cols>
  <sheetData>
    <row r="1" spans="1:5" x14ac:dyDescent="0.3">
      <c r="A1" t="s">
        <v>34</v>
      </c>
      <c r="B1">
        <v>116</v>
      </c>
    </row>
    <row r="2" spans="1:5" x14ac:dyDescent="0.3">
      <c r="A2" t="s">
        <v>35</v>
      </c>
      <c r="B2">
        <v>23</v>
      </c>
    </row>
    <row r="3" spans="1:5" x14ac:dyDescent="0.3">
      <c r="A3" t="s">
        <v>36</v>
      </c>
      <c r="B3">
        <v>81.83</v>
      </c>
    </row>
    <row r="4" spans="1:5" x14ac:dyDescent="0.3">
      <c r="A4" t="s">
        <v>37</v>
      </c>
      <c r="B4">
        <v>83.25</v>
      </c>
    </row>
    <row r="5" spans="1:5" x14ac:dyDescent="0.3">
      <c r="A5" t="s">
        <v>38</v>
      </c>
      <c r="B5">
        <v>23</v>
      </c>
      <c r="E5">
        <v>220.83</v>
      </c>
    </row>
    <row r="6" spans="1:5" x14ac:dyDescent="0.3">
      <c r="A6" t="s">
        <v>39</v>
      </c>
      <c r="B6">
        <v>39.67</v>
      </c>
      <c r="E6">
        <v>259.07</v>
      </c>
    </row>
    <row r="7" spans="1:5" x14ac:dyDescent="0.3">
      <c r="A7" t="s">
        <v>40</v>
      </c>
      <c r="B7">
        <v>113.17</v>
      </c>
      <c r="D7" t="s">
        <v>41</v>
      </c>
      <c r="E7">
        <v>1079.1600000000001</v>
      </c>
    </row>
    <row r="8" spans="1:5" x14ac:dyDescent="0.3">
      <c r="E8">
        <v>12.34</v>
      </c>
    </row>
    <row r="12" spans="1:5" x14ac:dyDescent="0.3">
      <c r="A12" t="s">
        <v>18</v>
      </c>
      <c r="B12">
        <v>1079.1600000000001</v>
      </c>
      <c r="C12">
        <v>699</v>
      </c>
      <c r="D12">
        <f>+B12-C12</f>
        <v>380.16000000000008</v>
      </c>
    </row>
    <row r="13" spans="1:5" x14ac:dyDescent="0.3">
      <c r="A13" t="s">
        <v>15</v>
      </c>
      <c r="B13">
        <f>+B7</f>
        <v>113.17</v>
      </c>
      <c r="D13">
        <f>+B13</f>
        <v>113.17</v>
      </c>
    </row>
    <row r="14" spans="1:5" x14ac:dyDescent="0.3">
      <c r="A14" t="s">
        <v>13</v>
      </c>
      <c r="B14">
        <f>+B2+B3+B4+B5+B6</f>
        <v>250.75</v>
      </c>
      <c r="D14">
        <f>+B14</f>
        <v>250.75</v>
      </c>
    </row>
    <row r="15" spans="1:5" x14ac:dyDescent="0.3">
      <c r="A15" t="s">
        <v>14</v>
      </c>
      <c r="B15">
        <f>+B1</f>
        <v>116</v>
      </c>
      <c r="D15">
        <f>+B15</f>
        <v>116</v>
      </c>
    </row>
    <row r="16" spans="1:5" x14ac:dyDescent="0.3">
      <c r="A16" t="s">
        <v>42</v>
      </c>
      <c r="B16">
        <v>12.34</v>
      </c>
      <c r="D16">
        <f>+B16</f>
        <v>12.34</v>
      </c>
    </row>
    <row r="17" spans="1:4" x14ac:dyDescent="0.3">
      <c r="A17" s="1" t="s">
        <v>19</v>
      </c>
      <c r="B17" s="1">
        <f>+SUM(B12:B16)</f>
        <v>1571.42</v>
      </c>
      <c r="C17" s="1"/>
      <c r="D17" s="1">
        <f>+SUM(D12:D16)</f>
        <v>872.42000000000019</v>
      </c>
    </row>
    <row r="25" spans="1:4" x14ac:dyDescent="0.3">
      <c r="A25" t="s">
        <v>43</v>
      </c>
      <c r="B25">
        <f>207+40.3+25.8</f>
        <v>273.10000000000002</v>
      </c>
    </row>
    <row r="26" spans="1:4" x14ac:dyDescent="0.3">
      <c r="B26">
        <v>116</v>
      </c>
      <c r="C26">
        <f>+B25-B26</f>
        <v>157.10000000000002</v>
      </c>
      <c r="D26" t="s">
        <v>44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65C45-63F3-4482-A11E-3E3FDE50B2C0}">
  <dimension ref="A1:XFD29"/>
  <sheetViews>
    <sheetView tabSelected="1" topLeftCell="A19" zoomScale="160" zoomScaleNormal="160" workbookViewId="0">
      <selection activeCell="F27" sqref="F27"/>
    </sheetView>
  </sheetViews>
  <sheetFormatPr baseColWidth="10" defaultRowHeight="14.4" x14ac:dyDescent="0.3"/>
  <sheetData>
    <row r="1" spans="1:5" x14ac:dyDescent="0.3">
      <c r="A1">
        <v>61.37</v>
      </c>
      <c r="B1" t="s">
        <v>45</v>
      </c>
      <c r="D1">
        <v>524.97</v>
      </c>
      <c r="E1" t="s">
        <v>35</v>
      </c>
    </row>
    <row r="2" spans="1:5" x14ac:dyDescent="0.3">
      <c r="A2">
        <v>62.5</v>
      </c>
      <c r="B2" t="s">
        <v>46</v>
      </c>
      <c r="D2">
        <v>497.13</v>
      </c>
      <c r="E2" t="s">
        <v>35</v>
      </c>
    </row>
    <row r="3" spans="1:5" x14ac:dyDescent="0.3">
      <c r="A3">
        <v>219.3</v>
      </c>
      <c r="B3" t="s">
        <v>46</v>
      </c>
      <c r="D3">
        <v>57.98</v>
      </c>
      <c r="E3" t="s">
        <v>47</v>
      </c>
    </row>
    <row r="4" spans="1:5" x14ac:dyDescent="0.3">
      <c r="A4">
        <v>1999</v>
      </c>
      <c r="B4" t="s">
        <v>48</v>
      </c>
      <c r="D4">
        <v>58.73</v>
      </c>
      <c r="E4" t="s">
        <v>49</v>
      </c>
    </row>
    <row r="5" spans="1:5" x14ac:dyDescent="0.3">
      <c r="A5" s="1">
        <f>SUM(A1:A4)</f>
        <v>2342.17</v>
      </c>
      <c r="D5">
        <v>83.25</v>
      </c>
      <c r="E5" t="s">
        <v>50</v>
      </c>
    </row>
    <row r="6" spans="1:5" x14ac:dyDescent="0.3">
      <c r="D6">
        <v>104.83</v>
      </c>
      <c r="E6" t="s">
        <v>51</v>
      </c>
    </row>
    <row r="7" spans="1:5" x14ac:dyDescent="0.3">
      <c r="D7" s="1">
        <f>SUM(D1:D6)</f>
        <v>1326.8899999999999</v>
      </c>
    </row>
    <row r="14" spans="1:5" x14ac:dyDescent="0.3">
      <c r="A14" t="s">
        <v>52</v>
      </c>
      <c r="B14" s="1">
        <f>+A5+D7</f>
        <v>3669.06</v>
      </c>
    </row>
    <row r="15" spans="1:5" x14ac:dyDescent="0.3">
      <c r="A15" t="s">
        <v>53</v>
      </c>
      <c r="B15">
        <v>22.45</v>
      </c>
    </row>
    <row r="16" spans="1:5" x14ac:dyDescent="0.3">
      <c r="B16" s="1">
        <f>SUM(B14:B15)</f>
        <v>3691.5099999999998</v>
      </c>
    </row>
    <row r="20" spans="2:5 16384:16384" x14ac:dyDescent="0.3">
      <c r="B20">
        <v>2500</v>
      </c>
    </row>
    <row r="21" spans="2:5 16384:16384" x14ac:dyDescent="0.3">
      <c r="B21">
        <v>80</v>
      </c>
    </row>
    <row r="22" spans="2:5 16384:16384" x14ac:dyDescent="0.3">
      <c r="B22">
        <v>300</v>
      </c>
    </row>
    <row r="23" spans="2:5 16384:16384" x14ac:dyDescent="0.3">
      <c r="B23">
        <v>35</v>
      </c>
    </row>
    <row r="24" spans="2:5 16384:16384" x14ac:dyDescent="0.3">
      <c r="B24">
        <v>-200</v>
      </c>
    </row>
    <row r="25" spans="2:5 16384:16384" x14ac:dyDescent="0.3">
      <c r="B25">
        <v>-165.66</v>
      </c>
    </row>
    <row r="26" spans="2:5 16384:16384" x14ac:dyDescent="0.3">
      <c r="B26" s="1">
        <f>SUM(B20:B25)</f>
        <v>2549.34</v>
      </c>
      <c r="D26" s="1">
        <f>+D7+B15</f>
        <v>1349.34</v>
      </c>
      <c r="E26">
        <f>+B26-D26</f>
        <v>1200.0000000000002</v>
      </c>
      <c r="XFD26">
        <f>SUM(E26)</f>
        <v>1200.0000000000002</v>
      </c>
    </row>
    <row r="29" spans="2:5 16384:16384" x14ac:dyDescent="0.3">
      <c r="B29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febrero</vt:lpstr>
      <vt:lpstr>abril</vt:lpstr>
      <vt:lpstr>mayo</vt:lpstr>
      <vt:lpstr>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Computadora Cruz Maguiña</dc:creator>
  <cp:lastModifiedBy>Computadora Cruz Maguiña</cp:lastModifiedBy>
  <dcterms:created xsi:type="dcterms:W3CDTF">2026-02-07T04:33:40Z</dcterms:created>
  <dcterms:modified xsi:type="dcterms:W3CDTF">2026-08-25T21:00:51Z</dcterms:modified>
</cp:coreProperties>
</file>